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Whatsapp" sheetId="1" state="visible" r:id="rId1"/>
  </sheets>
  <definedNames>
    <definedName name="_xlnm._FilterDatabase" localSheetId="0" hidden="1">'Whatsapp'!$B$2:$K$39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name val="Calibri"/>
      <family val="2"/>
      <sz val="8"/>
      <scheme val="minor"/>
    </font>
  </fonts>
  <fills count="3">
    <fill>
      <patternFill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pivotButton="0" quotePrefix="0" xfId="0"/>
    <xf numFmtId="14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14" fontId="0" fillId="2" borderId="0" applyAlignment="1" pivotButton="0" quotePrefix="0" xfId="0">
      <alignment horizontal="center" vertical="center"/>
    </xf>
    <xf numFmtId="4" fontId="0" fillId="2" borderId="0" applyAlignment="1" pivotButton="0" quotePrefix="0" xfId="0">
      <alignment horizontal="center" vertical="center"/>
    </xf>
    <xf numFmtId="4" fontId="0" fillId="0" borderId="0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Planilha12">
    <outlinePr summaryBelow="1" summaryRight="1"/>
    <pageSetUpPr/>
  </sheetPr>
  <dimension ref="A1:T47"/>
  <sheetViews>
    <sheetView tabSelected="1" topLeftCell="A13" zoomScale="70" zoomScaleNormal="70" workbookViewId="0">
      <selection activeCell="B39" sqref="B39"/>
    </sheetView>
  </sheetViews>
  <sheetFormatPr baseColWidth="8" defaultRowHeight="15"/>
  <cols>
    <col width="10.7109375" bestFit="1" customWidth="1" min="1" max="1"/>
    <col width="73" customWidth="1" min="2" max="2"/>
    <col width="65" customWidth="1" min="3" max="3"/>
    <col width="34.140625" customWidth="1" min="4" max="4"/>
    <col width="27.5703125" customWidth="1" min="5" max="5"/>
    <col width="29" customWidth="1" min="6" max="6"/>
    <col width="49.5703125" customWidth="1" min="7" max="7"/>
    <col width="17.28515625" bestFit="1" customWidth="1" min="10" max="10"/>
    <col width="11.85546875" bestFit="1" customWidth="1" min="11" max="11"/>
  </cols>
  <sheetData>
    <row r="1">
      <c r="A1" s="1">
        <f>TODAY()</f>
        <v/>
      </c>
    </row>
    <row r="2">
      <c r="B2" s="2" t="inlineStr">
        <is>
          <t>Empresa</t>
        </is>
      </c>
      <c r="C2" s="2" t="inlineStr">
        <is>
          <t>Código de barras</t>
        </is>
      </c>
      <c r="D2" s="2" t="inlineStr">
        <is>
          <t>Vencimento</t>
        </is>
      </c>
      <c r="E2" s="2" t="inlineStr">
        <is>
          <t>Valor</t>
        </is>
      </c>
      <c r="F2" s="2" t="inlineStr">
        <is>
          <t>Mês</t>
        </is>
      </c>
      <c r="G2" s="2" t="inlineStr">
        <is>
          <t>NF</t>
        </is>
      </c>
      <c r="H2" s="2" t="inlineStr">
        <is>
          <t>Pago</t>
        </is>
      </c>
      <c r="I2" s="2" t="inlineStr">
        <is>
          <t>Status</t>
        </is>
      </c>
      <c r="J2" s="2" t="inlineStr">
        <is>
          <t>Contato</t>
        </is>
      </c>
      <c r="K2" s="2" t="inlineStr">
        <is>
          <t>Status envio</t>
        </is>
      </c>
    </row>
    <row r="3">
      <c r="B3" s="2" t="inlineStr">
        <is>
          <t>WALTRI INDÚSTRIA E COMÉRCIO DE EQUIPAMENTOS LTDA</t>
        </is>
      </c>
      <c r="C3" s="2" t="inlineStr">
        <is>
          <t>00190.00009 03164.048005 00014.616171 9 94670000069975</t>
        </is>
      </c>
      <c r="D3" s="3" t="n">
        <v>45177</v>
      </c>
      <c r="E3" s="2" t="n">
        <v>699.75</v>
      </c>
      <c r="F3" s="2">
        <f>UPPER(TEXT(D3,"Mmmm"))</f>
        <v/>
      </c>
      <c r="G3" s="2" t="n">
        <v>4484</v>
      </c>
      <c r="H3" s="2" t="inlineStr">
        <is>
          <t>Sim</t>
        </is>
      </c>
      <c r="I3" s="2">
        <f>IF($A$1&gt;D3,"Vencido","A vencer")</f>
        <v/>
      </c>
      <c r="J3" t="inlineStr">
        <is>
          <t>T. Quintas</t>
        </is>
      </c>
    </row>
    <row r="4">
      <c r="B4" s="2" t="inlineStr">
        <is>
          <t>WALTRI INDÚSTRIA E COMÉRCIO DE EQUIPAMENTOS LTDA</t>
        </is>
      </c>
      <c r="C4" s="2" t="inlineStr">
        <is>
          <t>00190.00009 03164.048005 00014.617179 9 94970000069805</t>
        </is>
      </c>
      <c r="D4" s="3" t="n">
        <v>45207</v>
      </c>
      <c r="E4" s="2" t="n">
        <v>698.05</v>
      </c>
      <c r="F4" s="2">
        <f>UPPER(TEXT(D4,"Mmmm"))</f>
        <v/>
      </c>
      <c r="G4" s="2" t="n">
        <v>4484</v>
      </c>
      <c r="H4" s="2" t="n"/>
      <c r="I4" s="2">
        <f>IF($A$1&gt;D4,"Vencido","A vencer")</f>
        <v/>
      </c>
      <c r="J4" t="inlineStr">
        <is>
          <t>T. Quintas</t>
        </is>
      </c>
      <c r="K4" t="inlineStr">
        <is>
          <t>Enviado</t>
        </is>
      </c>
    </row>
    <row r="5">
      <c r="B5" s="2" t="inlineStr">
        <is>
          <t>WALTRI INDÚSTRIA E COMÉRCIO DE EQUIPAMENTOS LTDA</t>
        </is>
      </c>
      <c r="C5" s="2" t="inlineStr">
        <is>
          <t>00190.00009 03164.048005 00014.618177 7 95270000069805</t>
        </is>
      </c>
      <c r="D5" s="3" t="n">
        <v>45237</v>
      </c>
      <c r="E5" s="2" t="n">
        <v>698.05</v>
      </c>
      <c r="F5" s="2">
        <f>UPPER(TEXT(D5,"Mmmm"))</f>
        <v/>
      </c>
      <c r="G5" s="2" t="n">
        <v>4484</v>
      </c>
      <c r="H5" s="2" t="n"/>
      <c r="I5" s="2">
        <f>IF($A$1&gt;D5,"Vencido","A vencer")</f>
        <v/>
      </c>
      <c r="J5" t="inlineStr">
        <is>
          <t>T. Quintas</t>
        </is>
      </c>
      <c r="K5" t="inlineStr">
        <is>
          <t>Enviado</t>
        </is>
      </c>
    </row>
    <row r="6">
      <c r="B6" s="2" t="inlineStr">
        <is>
          <t>WALTRI INDÚSTRIA E COMÉRCIO DE EQUIPAMENTOS LTDA</t>
        </is>
      </c>
      <c r="C6" s="2" t="inlineStr">
        <is>
          <t>00190.00009 03164.048005 00014.619175 7 95570000069805</t>
        </is>
      </c>
      <c r="D6" s="3" t="n">
        <v>45267</v>
      </c>
      <c r="E6" s="2" t="n">
        <v>698.05</v>
      </c>
      <c r="F6" s="2">
        <f>UPPER(TEXT(D6,"Mmmm"))</f>
        <v/>
      </c>
      <c r="G6" s="2" t="n">
        <v>4484</v>
      </c>
      <c r="H6" s="2" t="n"/>
      <c r="I6" s="2">
        <f>IF($A$1&gt;D6,"Vencido","A vencer")</f>
        <v/>
      </c>
      <c r="J6" t="inlineStr">
        <is>
          <t>T. Quintas</t>
        </is>
      </c>
      <c r="K6" t="inlineStr">
        <is>
          <t>Enviado</t>
        </is>
      </c>
    </row>
    <row r="7">
      <c r="B7" s="2" t="inlineStr">
        <is>
          <t>WALTRI INDÚSTRIA E COMÉRCIO DE EQUIPAMENTOS LTDA</t>
        </is>
      </c>
      <c r="C7" s="2" t="inlineStr">
        <is>
          <t>00190.00009 03164.048005 00014.620173 9 95870000069805</t>
        </is>
      </c>
      <c r="D7" s="3" t="n">
        <v>45297</v>
      </c>
      <c r="E7" s="2" t="n">
        <v>698.05</v>
      </c>
      <c r="F7" s="2">
        <f>UPPER(TEXT(D7,"Mmmm"))</f>
        <v/>
      </c>
      <c r="G7" s="2" t="n">
        <v>4484</v>
      </c>
      <c r="H7" s="2" t="n"/>
      <c r="I7" s="2">
        <f>IF($A$1&gt;D7,"Vencido","A vencer")</f>
        <v/>
      </c>
      <c r="J7" t="inlineStr">
        <is>
          <t>T. Quintas</t>
        </is>
      </c>
      <c r="K7" t="inlineStr">
        <is>
          <t>Enviado</t>
        </is>
      </c>
      <c r="T7" t="inlineStr">
        <is>
          <t>Contato</t>
        </is>
      </c>
    </row>
    <row r="8">
      <c r="B8" s="2" t="inlineStr">
        <is>
          <t>WALTRI INDÚSTRIA E COMÉRCIO DE EQUIPAMENTOS LTDA</t>
        </is>
      </c>
      <c r="C8" s="2" t="inlineStr">
        <is>
          <t>00190.00009 03164.048005 00014.621171 7 96170000069805</t>
        </is>
      </c>
      <c r="D8" s="3" t="n">
        <v>45327</v>
      </c>
      <c r="E8" s="2" t="n">
        <v>698.05</v>
      </c>
      <c r="F8" s="2">
        <f>UPPER(TEXT(D8,"Mmmm"))</f>
        <v/>
      </c>
      <c r="G8" s="2" t="n">
        <v>4484</v>
      </c>
      <c r="H8" s="2" t="n"/>
      <c r="I8" s="2">
        <f>IF($A$1&gt;D8,"Vencido","A vencer")</f>
        <v/>
      </c>
      <c r="J8" t="inlineStr">
        <is>
          <t>T. Quintas</t>
        </is>
      </c>
      <c r="K8" t="inlineStr">
        <is>
          <t>Enviado</t>
        </is>
      </c>
      <c r="T8" t="inlineStr">
        <is>
          <t>SDS TECH GESTÃO</t>
        </is>
      </c>
    </row>
    <row r="9">
      <c r="B9" s="4" t="inlineStr">
        <is>
          <t>WALTRI INDÚSTRIA E COMÉRCIO DE EQUIPAMENTOS LTDA</t>
        </is>
      </c>
      <c r="C9" s="4" t="inlineStr">
        <is>
          <t>00190.00009 03164.048005 00014.046171 1 94410000922375</t>
        </is>
      </c>
      <c r="D9" s="5" t="n">
        <v>45151</v>
      </c>
      <c r="E9" s="6" t="n">
        <v>9223.75</v>
      </c>
      <c r="F9" s="2">
        <f>UPPER(TEXT(D9,"Mmmm"))</f>
        <v/>
      </c>
      <c r="G9" s="4" t="n">
        <v>4326</v>
      </c>
      <c r="H9" s="2" t="n"/>
      <c r="I9" s="2">
        <f>IF($A$1&gt;D9,"Vencido","A vencer")</f>
        <v/>
      </c>
      <c r="J9" t="inlineStr">
        <is>
          <t>T. Quintas</t>
        </is>
      </c>
    </row>
    <row r="10">
      <c r="B10" s="2" t="inlineStr">
        <is>
          <t>WALTRI INDÚSTRIA E COMÉRCIO DE EQUIPAMENTOS LTDA</t>
        </is>
      </c>
      <c r="C10" s="2" t="inlineStr">
        <is>
          <t>00190.00009 03164.048005 00014.047179 5 94710000920165</t>
        </is>
      </c>
      <c r="D10" s="3" t="n">
        <v>45181</v>
      </c>
      <c r="E10" s="7" t="n">
        <v>9201.65</v>
      </c>
      <c r="F10" s="2">
        <f>UPPER(TEXT(D10,"Mmmm"))</f>
        <v/>
      </c>
      <c r="G10" s="2" t="n">
        <v>4326</v>
      </c>
      <c r="H10" s="2" t="inlineStr">
        <is>
          <t>Sim</t>
        </is>
      </c>
      <c r="I10" s="2">
        <f>IF($A$1&gt;D10,"Vencido","A vencer")</f>
        <v/>
      </c>
      <c r="J10" t="inlineStr">
        <is>
          <t>T. Quintas</t>
        </is>
      </c>
    </row>
    <row r="11">
      <c r="B11" s="2" t="inlineStr">
        <is>
          <t>WALTRI INDÚSTRIA E COMÉRCIO DE EQUIPAMENTOS LTDA</t>
        </is>
      </c>
      <c r="C11" s="2" t="inlineStr">
        <is>
          <t>00190.00009 03164.048005 00014.048177 3 95010000920165</t>
        </is>
      </c>
      <c r="D11" s="3" t="n">
        <v>45211</v>
      </c>
      <c r="E11" s="7" t="n">
        <v>9201.65</v>
      </c>
      <c r="F11" s="2">
        <f>UPPER(TEXT(D11,"Mmmm"))</f>
        <v/>
      </c>
      <c r="G11" s="2" t="n">
        <v>4326</v>
      </c>
      <c r="H11" s="2" t="n"/>
      <c r="I11" s="2">
        <f>IF($A$1&gt;D11,"Vencido","A vencer")</f>
        <v/>
      </c>
      <c r="J11" t="inlineStr">
        <is>
          <t>T. Quintas</t>
        </is>
      </c>
    </row>
    <row r="12">
      <c r="B12" s="2" t="inlineStr">
        <is>
          <t>WALTRI INDÚSTRIA E COMÉRCIO DE EQUIPAMENTOS LTDA</t>
        </is>
      </c>
      <c r="C12" s="2" t="inlineStr">
        <is>
          <t>00190.00009 03164.048005 00014.049175 3 95310000920165</t>
        </is>
      </c>
      <c r="D12" s="3" t="n">
        <v>45241</v>
      </c>
      <c r="E12" s="7" t="n">
        <v>9201.65</v>
      </c>
      <c r="F12" s="2">
        <f>UPPER(TEXT(D12,"Mmmm"))</f>
        <v/>
      </c>
      <c r="G12" s="2" t="n">
        <v>4326</v>
      </c>
      <c r="H12" s="2" t="n"/>
      <c r="I12" s="2">
        <f>IF($A$1&gt;D12,"Vencido","A vencer")</f>
        <v/>
      </c>
      <c r="J12" t="inlineStr">
        <is>
          <t>T. Quintas</t>
        </is>
      </c>
      <c r="N12" t="n">
        <v>500000</v>
      </c>
      <c r="P12" t="n">
        <v>300000</v>
      </c>
    </row>
    <row r="13">
      <c r="B13" s="2" t="inlineStr">
        <is>
          <t>WALTRI INDÚSTRIA E COMÉRCIO DE EQUIPAMENTOS LTDA</t>
        </is>
      </c>
      <c r="C13" s="2" t="inlineStr">
        <is>
          <t>00190.00009 03164.048005 00014.050173 5 95610000920165</t>
        </is>
      </c>
      <c r="D13" s="3" t="n">
        <v>45271</v>
      </c>
      <c r="E13" s="7" t="n">
        <v>9201.65</v>
      </c>
      <c r="F13" s="2">
        <f>UPPER(TEXT(D13,"Mmmm"))</f>
        <v/>
      </c>
      <c r="G13" s="2" t="n">
        <v>4326</v>
      </c>
      <c r="H13" s="2" t="n"/>
      <c r="I13" s="2">
        <f>IF($A$1&gt;D13,"Vencido","A vencer")</f>
        <v/>
      </c>
      <c r="J13" t="inlineStr">
        <is>
          <t>T. Quintas</t>
        </is>
      </c>
    </row>
    <row r="14">
      <c r="B14" s="2" t="inlineStr">
        <is>
          <t>WALTRI INDÚSTRIA E COMÉRCIO DE EQUIPAMENTOS LTDA</t>
        </is>
      </c>
      <c r="C14" s="2" t="inlineStr">
        <is>
          <t>00190.00009 03164.048005 00014.051171 5 95910000920165</t>
        </is>
      </c>
      <c r="D14" s="3" t="n">
        <v>45301</v>
      </c>
      <c r="E14" s="7" t="n">
        <v>9201.65</v>
      </c>
      <c r="F14" s="2">
        <f>UPPER(TEXT(D14,"Mmmm"))</f>
        <v/>
      </c>
      <c r="G14" s="2" t="n">
        <v>4326</v>
      </c>
      <c r="H14" s="2" t="n"/>
      <c r="I14" s="2">
        <f>IF($A$1&gt;D14,"Vencido","A vencer")</f>
        <v/>
      </c>
      <c r="J14" t="inlineStr">
        <is>
          <t>T. Quintas</t>
        </is>
      </c>
      <c r="N14">
        <f>N12*0.05</f>
        <v/>
      </c>
      <c r="P14">
        <f>P12</f>
        <v/>
      </c>
    </row>
    <row r="15">
      <c r="B15" s="2" t="inlineStr">
        <is>
          <t>WALTRI INDÚSTRIA E COMÉRCIO DE EQUIPAMENTOS LTDA</t>
        </is>
      </c>
      <c r="C15" s="2" t="inlineStr">
        <is>
          <t>00190.00009 03164.048005 00013.713177 9 94270000225160</t>
        </is>
      </c>
      <c r="D15" s="3" t="n">
        <v>45137</v>
      </c>
      <c r="E15" s="7" t="n">
        <v>2251.6</v>
      </c>
      <c r="F15" s="2">
        <f>UPPER(TEXT(D15,"Mmmm"))</f>
        <v/>
      </c>
      <c r="G15" s="2" t="n">
        <v>4239</v>
      </c>
      <c r="H15" s="2" t="inlineStr">
        <is>
          <t>Sim</t>
        </is>
      </c>
      <c r="I15" s="2">
        <f>IF($A$1&gt;D15,"Vencido","A vencer")</f>
        <v/>
      </c>
      <c r="J15" t="inlineStr">
        <is>
          <t>T. Quintas</t>
        </is>
      </c>
    </row>
    <row r="16">
      <c r="B16" s="2" t="inlineStr">
        <is>
          <t>WALTRI INDÚSTRIA E COMÉRCIO DE EQUIPAMENTOS LTDA</t>
        </is>
      </c>
      <c r="C16" s="2" t="inlineStr">
        <is>
          <t>00190.00009 03164.048005 00013.714175 9 94570000225160</t>
        </is>
      </c>
      <c r="D16" s="3" t="n">
        <v>45167</v>
      </c>
      <c r="E16" s="7" t="n">
        <v>2251.6</v>
      </c>
      <c r="F16" s="2">
        <f>UPPER(TEXT(D16,"Mmmm"))</f>
        <v/>
      </c>
      <c r="G16" s="2" t="n">
        <v>4239</v>
      </c>
      <c r="H16" s="2" t="inlineStr">
        <is>
          <t>Sim</t>
        </is>
      </c>
      <c r="I16" s="2">
        <f>IF($A$1&gt;D16,"Vencido","A vencer")</f>
        <v/>
      </c>
      <c r="J16" t="inlineStr">
        <is>
          <t>T. Quintas</t>
        </is>
      </c>
    </row>
    <row r="17">
      <c r="B17" s="2" t="inlineStr">
        <is>
          <t>WALTRI INDÚSTRIA E COMÉRCIO DE EQUIPAMENTOS LTDA</t>
        </is>
      </c>
      <c r="C17" s="2" t="inlineStr">
        <is>
          <t>00190.00009 03164.048005 00013.715172 9 94870000225160</t>
        </is>
      </c>
      <c r="D17" s="3" t="n">
        <v>45197</v>
      </c>
      <c r="E17" s="7" t="n">
        <v>2251.6</v>
      </c>
      <c r="F17" s="2">
        <f>UPPER(TEXT(D17,"Mmmm"))</f>
        <v/>
      </c>
      <c r="G17" s="2" t="n">
        <v>4239</v>
      </c>
      <c r="H17" s="2" t="n"/>
      <c r="I17" s="2">
        <f>IF($A$1&gt;D17,"Vencido","A vencer")</f>
        <v/>
      </c>
      <c r="J17" t="inlineStr">
        <is>
          <t>T. Quintas</t>
        </is>
      </c>
    </row>
    <row r="18">
      <c r="B18" s="2" t="inlineStr">
        <is>
          <t>WALTRI INDÚSTRIA E COMÉRCIO DE EQUIPAMENTOS LTDA</t>
        </is>
      </c>
      <c r="C18" s="2" t="inlineStr">
        <is>
          <t>00190.00009 03164.048005 00013.716170 7 95170000225160</t>
        </is>
      </c>
      <c r="D18" s="3" t="n">
        <v>45227</v>
      </c>
      <c r="E18" s="7" t="n">
        <v>2251.6</v>
      </c>
      <c r="F18" s="2">
        <f>UPPER(TEXT(D18,"Mmmm"))</f>
        <v/>
      </c>
      <c r="G18" s="2" t="n">
        <v>4239</v>
      </c>
      <c r="H18" s="2" t="n"/>
      <c r="I18" s="2">
        <f>IF($A$1&gt;D18,"Vencido","A vencer")</f>
        <v/>
      </c>
      <c r="J18" t="inlineStr">
        <is>
          <t>T. Quintas</t>
        </is>
      </c>
    </row>
    <row r="19">
      <c r="B19" s="2" t="inlineStr">
        <is>
          <t>WALTRI INDÚSTRIA E COMÉRCIO DE EQUIPAMENTOS LTDA</t>
        </is>
      </c>
      <c r="C19" s="2" t="inlineStr">
        <is>
          <t>00190.00009 03164.048005 00013.717178 7 95470000225160</t>
        </is>
      </c>
      <c r="D19" s="3" t="n">
        <v>45257</v>
      </c>
      <c r="E19" s="7" t="n">
        <v>2251.6</v>
      </c>
      <c r="F19" s="2">
        <f>UPPER(TEXT(D19,"Mmmm"))</f>
        <v/>
      </c>
      <c r="G19" s="2" t="n">
        <v>4239</v>
      </c>
      <c r="H19" s="2" t="n"/>
      <c r="I19" s="2">
        <f>IF($A$1&gt;D19,"Vencido","A vencer")</f>
        <v/>
      </c>
      <c r="J19" t="inlineStr">
        <is>
          <t>T. Quintas</t>
        </is>
      </c>
    </row>
    <row r="20">
      <c r="B20" s="2" t="inlineStr">
        <is>
          <t>BLING BARROS</t>
        </is>
      </c>
      <c r="C20" s="2" t="inlineStr">
        <is>
          <t>34191.76049 96131.820571 44565.390000 9 94380000008500</t>
        </is>
      </c>
      <c r="D20" s="3" t="n">
        <v>45148</v>
      </c>
      <c r="E20" s="2" t="n">
        <v>85</v>
      </c>
      <c r="F20" s="2">
        <f>UPPER(TEXT(D20,"Mmmm"))</f>
        <v/>
      </c>
      <c r="G20" s="2" t="n"/>
      <c r="H20" s="2" t="inlineStr">
        <is>
          <t>Sim</t>
        </is>
      </c>
      <c r="I20" s="2">
        <f>IF($A$1&gt;D20,"Vencido","A vencer")</f>
        <v/>
      </c>
      <c r="J20" t="inlineStr">
        <is>
          <t>T. Quintas</t>
        </is>
      </c>
    </row>
    <row r="21">
      <c r="B21" s="2" t="inlineStr">
        <is>
          <t>BLING BARROS</t>
        </is>
      </c>
      <c r="C21" s="2" t="n"/>
      <c r="D21" s="3" t="n">
        <v>45179</v>
      </c>
      <c r="E21" s="2" t="n">
        <v>85</v>
      </c>
      <c r="F21" s="2">
        <f>UPPER(TEXT(D21,"Mmmm"))</f>
        <v/>
      </c>
      <c r="G21" s="2" t="n"/>
      <c r="H21" s="2" t="inlineStr">
        <is>
          <t>Sim</t>
        </is>
      </c>
      <c r="I21" s="2">
        <f>IF($A$1&gt;D21,"Vencido","A vencer")</f>
        <v/>
      </c>
      <c r="J21" t="inlineStr">
        <is>
          <t>T. Quintas</t>
        </is>
      </c>
    </row>
    <row r="22">
      <c r="B22" s="2" t="inlineStr">
        <is>
          <t>BLING BARROS</t>
        </is>
      </c>
      <c r="C22" s="2" t="n"/>
      <c r="D22" s="3" t="n">
        <v>45209</v>
      </c>
      <c r="E22" s="2" t="n">
        <v>85</v>
      </c>
      <c r="F22" s="2">
        <f>UPPER(TEXT(D22,"Mmmm"))</f>
        <v/>
      </c>
      <c r="G22" s="2" t="n"/>
      <c r="H22" s="2" t="n"/>
      <c r="I22" s="2">
        <f>IF($A$1&gt;D22,"Vencido","A vencer")</f>
        <v/>
      </c>
      <c r="J22" t="inlineStr">
        <is>
          <t>T. Quintas</t>
        </is>
      </c>
    </row>
    <row r="23">
      <c r="B23" s="2" t="inlineStr">
        <is>
          <t>BLING BARROS</t>
        </is>
      </c>
      <c r="C23" s="2" t="n"/>
      <c r="D23" s="3" t="n">
        <v>45240</v>
      </c>
      <c r="E23" s="2" t="n">
        <v>85</v>
      </c>
      <c r="F23" s="2">
        <f>UPPER(TEXT(D23,"Mmmm"))</f>
        <v/>
      </c>
      <c r="G23" s="2" t="n"/>
      <c r="H23" s="2" t="n"/>
      <c r="I23" s="2">
        <f>IF($A$1&gt;D23,"Vencido","A vencer")</f>
        <v/>
      </c>
      <c r="J23" t="inlineStr">
        <is>
          <t>T. Quintas</t>
        </is>
      </c>
    </row>
    <row r="24">
      <c r="B24" s="2" t="inlineStr">
        <is>
          <t>BLING BARROS</t>
        </is>
      </c>
      <c r="C24" s="2" t="n"/>
      <c r="D24" s="3" t="n">
        <v>45270</v>
      </c>
      <c r="E24" s="2" t="n">
        <v>85</v>
      </c>
      <c r="F24" s="2">
        <f>UPPER(TEXT(D24,"Mmmm"))</f>
        <v/>
      </c>
      <c r="G24" s="2" t="n"/>
      <c r="H24" s="2" t="n"/>
      <c r="I24" s="2">
        <f>IF($A$1&gt;D24,"Vencido","A vencer")</f>
        <v/>
      </c>
      <c r="J24" t="inlineStr">
        <is>
          <t>T. Quintas</t>
        </is>
      </c>
    </row>
    <row r="25">
      <c r="B25" s="2" t="inlineStr">
        <is>
          <t>BLING RJ</t>
        </is>
      </c>
      <c r="C25" s="2" t="inlineStr">
        <is>
          <t>34191.76056 06790.560574 44565.390000 6 94480000008500</t>
        </is>
      </c>
      <c r="D25" s="3" t="n">
        <v>45158</v>
      </c>
      <c r="E25" s="2" t="n">
        <v>85</v>
      </c>
      <c r="F25" s="2">
        <f>UPPER(TEXT(D25,"Mmmm"))</f>
        <v/>
      </c>
      <c r="G25" s="2" t="n"/>
      <c r="H25" s="2" t="inlineStr">
        <is>
          <t>SIm</t>
        </is>
      </c>
      <c r="I25" s="2">
        <f>IF($A$1&gt;D25,"Vencido","A vencer")</f>
        <v/>
      </c>
      <c r="J25" t="inlineStr">
        <is>
          <t>T. Quintas</t>
        </is>
      </c>
    </row>
    <row r="26">
      <c r="B26" s="2" t="inlineStr">
        <is>
          <t>BLING RJ</t>
        </is>
      </c>
      <c r="C26" s="2" t="n"/>
      <c r="D26" s="3" t="n">
        <v>45189</v>
      </c>
      <c r="E26" s="2" t="n">
        <v>85</v>
      </c>
      <c r="F26" s="2">
        <f>UPPER(TEXT(D26,"Mmmm"))</f>
        <v/>
      </c>
      <c r="G26" s="2" t="n"/>
      <c r="H26" s="2" t="n"/>
      <c r="I26" s="2">
        <f>IF($A$1&gt;D26,"Vencido","A vencer")</f>
        <v/>
      </c>
      <c r="J26" t="inlineStr">
        <is>
          <t>T. Quintas</t>
        </is>
      </c>
    </row>
    <row r="27">
      <c r="B27" s="2" t="inlineStr">
        <is>
          <t>BLING RJ</t>
        </is>
      </c>
      <c r="C27" s="2" t="n"/>
      <c r="D27" s="3" t="n">
        <v>45219</v>
      </c>
      <c r="E27" s="2" t="n">
        <v>85</v>
      </c>
      <c r="F27" s="2">
        <f>UPPER(TEXT(D27,"Mmmm"))</f>
        <v/>
      </c>
      <c r="G27" s="2" t="n"/>
      <c r="H27" s="2" t="n"/>
      <c r="I27" s="2">
        <f>IF($A$1&gt;D27,"Vencido","A vencer")</f>
        <v/>
      </c>
      <c r="J27" t="inlineStr">
        <is>
          <t>T. Quintas</t>
        </is>
      </c>
    </row>
    <row r="28">
      <c r="B28" s="2" t="inlineStr">
        <is>
          <t>BLING RJ</t>
        </is>
      </c>
      <c r="C28" s="2" t="n"/>
      <c r="D28" s="3" t="n">
        <v>45250</v>
      </c>
      <c r="E28" s="2" t="n">
        <v>85</v>
      </c>
      <c r="F28" s="2">
        <f>UPPER(TEXT(D28,"Mmmm"))</f>
        <v/>
      </c>
      <c r="G28" s="2" t="n"/>
      <c r="H28" s="2" t="n"/>
      <c r="I28" s="2">
        <f>IF($A$1&gt;D28,"Vencido","A vencer")</f>
        <v/>
      </c>
      <c r="J28" t="inlineStr">
        <is>
          <t>T. Quintas</t>
        </is>
      </c>
    </row>
    <row r="29">
      <c r="B29" s="2" t="inlineStr">
        <is>
          <t>BLING RJ</t>
        </is>
      </c>
      <c r="C29" s="2" t="n"/>
      <c r="D29" s="3" t="n">
        <v>45280</v>
      </c>
      <c r="E29" s="2" t="n">
        <v>85</v>
      </c>
      <c r="F29" s="2">
        <f>UPPER(TEXT(D29,"Mmmm"))</f>
        <v/>
      </c>
      <c r="G29" s="2" t="n"/>
      <c r="H29" s="2" t="n"/>
      <c r="I29" s="2">
        <f>IF($A$1&gt;D29,"Vencido","A vencer")</f>
        <v/>
      </c>
      <c r="J29" t="inlineStr">
        <is>
          <t>T. Quintas</t>
        </is>
      </c>
    </row>
    <row r="30">
      <c r="B30" s="2" t="inlineStr">
        <is>
          <t>TELWIN</t>
        </is>
      </c>
      <c r="C30" s="2" t="n"/>
      <c r="D30" s="3" t="n">
        <v>45162</v>
      </c>
      <c r="E30" s="7" t="n">
        <v>3956.48</v>
      </c>
      <c r="F30" s="2">
        <f>UPPER(TEXT(D30,"Mmmm"))</f>
        <v/>
      </c>
      <c r="G30" s="2" t="inlineStr">
        <is>
          <t>000976/04</t>
        </is>
      </c>
      <c r="H30" s="2" t="inlineStr">
        <is>
          <t>Sim</t>
        </is>
      </c>
      <c r="I30" s="2">
        <f>IF($A$1&gt;D30,"Vencido","A vencer")</f>
        <v/>
      </c>
      <c r="J30" t="inlineStr">
        <is>
          <t>T. Quintas</t>
        </is>
      </c>
    </row>
    <row r="31">
      <c r="B31" s="2" t="inlineStr">
        <is>
          <t>TELWIN</t>
        </is>
      </c>
      <c r="C31" s="2" t="n"/>
      <c r="D31" s="3" t="n">
        <v>45174</v>
      </c>
      <c r="E31" s="7" t="n">
        <v>4228.19</v>
      </c>
      <c r="F31" s="2">
        <f>UPPER(TEXT(D31,"Mmmm"))</f>
        <v/>
      </c>
      <c r="G31" s="2" t="inlineStr">
        <is>
          <t>001081/02</t>
        </is>
      </c>
      <c r="H31" s="2" t="inlineStr">
        <is>
          <t>Sim</t>
        </is>
      </c>
      <c r="I31" s="2">
        <f>IF($A$1&gt;D31,"Vencido","A vencer")</f>
        <v/>
      </c>
      <c r="J31" t="inlineStr">
        <is>
          <t>T. Quintas</t>
        </is>
      </c>
    </row>
    <row r="32">
      <c r="B32" s="2" t="inlineStr">
        <is>
          <t>TELWIN</t>
        </is>
      </c>
      <c r="C32" s="2" t="n"/>
      <c r="D32" s="3" t="n">
        <v>45190</v>
      </c>
      <c r="E32" s="7" t="n">
        <v>3978.24</v>
      </c>
      <c r="F32" s="2">
        <f>UPPER(TEXT(D32,"Mmmm"))</f>
        <v/>
      </c>
      <c r="G32" s="2" t="inlineStr">
        <is>
          <t>000976/05</t>
        </is>
      </c>
      <c r="H32" s="2" t="inlineStr">
        <is>
          <t>Sim</t>
        </is>
      </c>
      <c r="I32" s="2">
        <f>IF($A$1&gt;D32,"Vencido","A vencer")</f>
        <v/>
      </c>
      <c r="J32" t="inlineStr">
        <is>
          <t>T. Quintas</t>
        </is>
      </c>
    </row>
    <row r="33">
      <c r="B33" s="2" t="inlineStr">
        <is>
          <t>TELWIN</t>
        </is>
      </c>
      <c r="C33" s="2" t="n"/>
      <c r="D33" s="3" t="n">
        <v>45202</v>
      </c>
      <c r="E33" s="7" t="n">
        <v>4228.19</v>
      </c>
      <c r="F33" s="2">
        <f>UPPER(TEXT(D33,"Mmmm"))</f>
        <v/>
      </c>
      <c r="G33" s="2" t="inlineStr">
        <is>
          <t>001081/03</t>
        </is>
      </c>
      <c r="H33" s="2" t="n"/>
      <c r="I33" s="2">
        <f>IF($A$1&gt;D33,"Vencido","A vencer")</f>
        <v/>
      </c>
      <c r="J33" t="inlineStr">
        <is>
          <t>T. Quintas</t>
        </is>
      </c>
    </row>
    <row r="34">
      <c r="B34" s="2" t="inlineStr">
        <is>
          <t>TELWIN</t>
        </is>
      </c>
      <c r="C34" s="2" t="n"/>
      <c r="D34" s="3" t="n">
        <v>45230</v>
      </c>
      <c r="E34" s="7" t="n">
        <v>4228.19</v>
      </c>
      <c r="F34" s="2">
        <f>UPPER(TEXT(D34,"Mmmm"))</f>
        <v/>
      </c>
      <c r="G34" s="2" t="inlineStr">
        <is>
          <t>001081/04</t>
        </is>
      </c>
      <c r="H34" s="2" t="n"/>
      <c r="I34" s="2">
        <f>IF($A$1&gt;D34,"Vencido","A vencer")</f>
        <v/>
      </c>
      <c r="J34" t="inlineStr">
        <is>
          <t>T. Quintas</t>
        </is>
      </c>
    </row>
    <row r="35">
      <c r="B35" s="2" t="inlineStr">
        <is>
          <t>TELWIN</t>
        </is>
      </c>
      <c r="C35" s="2" t="n"/>
      <c r="D35" s="3" t="n">
        <v>45258</v>
      </c>
      <c r="E35" s="7" t="n">
        <v>4228.19</v>
      </c>
      <c r="F35" s="2">
        <f>UPPER(TEXT(D35,"Mmmm"))</f>
        <v/>
      </c>
      <c r="G35" s="2" t="inlineStr">
        <is>
          <t>001081/05</t>
        </is>
      </c>
      <c r="H35" s="2" t="n"/>
      <c r="I35" s="2">
        <f>IF($A$1&gt;D35,"Vencido","A vencer")</f>
        <v/>
      </c>
      <c r="J35" t="inlineStr">
        <is>
          <t>T. Quintas</t>
        </is>
      </c>
    </row>
    <row r="36">
      <c r="B36" s="2" t="inlineStr">
        <is>
          <t>TELWIN</t>
        </is>
      </c>
      <c r="C36" s="2" t="n"/>
      <c r="D36" s="3" t="n">
        <v>45286</v>
      </c>
      <c r="E36" s="7" t="n">
        <v>4228.18</v>
      </c>
      <c r="F36" s="2">
        <f>UPPER(TEXT(D36,"Mmmm"))</f>
        <v/>
      </c>
      <c r="G36" s="2" t="inlineStr">
        <is>
          <t>001081/06</t>
        </is>
      </c>
      <c r="H36" s="2" t="n"/>
      <c r="I36" s="2">
        <f>IF($A$1&gt;D36,"Vencido","A vencer")</f>
        <v/>
      </c>
      <c r="J36" t="inlineStr">
        <is>
          <t>T. Quintas</t>
        </is>
      </c>
    </row>
    <row r="37">
      <c r="B37" s="2" t="inlineStr">
        <is>
          <t>WALTRI INDÚSTRIA E COMÉRCIO DE EQUIPAMENTOS LTDA</t>
        </is>
      </c>
      <c r="C37" s="2" t="inlineStr">
        <is>
          <t>00190.00009 03164.048005 00014.755177 2 94750000100000</t>
        </is>
      </c>
      <c r="D37" s="3" t="n">
        <v>45185</v>
      </c>
      <c r="E37" s="2" t="n">
        <v>1000</v>
      </c>
      <c r="F37" s="2">
        <f>UPPER(TEXT(D37,"Mmmm"))</f>
        <v/>
      </c>
      <c r="G37" s="2" t="n">
        <v>4524</v>
      </c>
      <c r="H37" s="2" t="n"/>
      <c r="I37" s="2">
        <f>IF($A$1&gt;D37,"Vencido","A vencer")</f>
        <v/>
      </c>
      <c r="J37" t="inlineStr">
        <is>
          <t>T. Quintas</t>
        </is>
      </c>
    </row>
    <row r="38">
      <c r="B38" s="2" t="inlineStr">
        <is>
          <t>WALTRI INDÚSTRIA E COMÉRCIO DE EQUIPAMENTOS LTDA</t>
        </is>
      </c>
      <c r="C38" s="2" t="inlineStr">
        <is>
          <t>00190.00009 03164.048005 00014.756175 1 95050000100000</t>
        </is>
      </c>
      <c r="D38" s="3" t="n">
        <v>45215</v>
      </c>
      <c r="E38" s="2" t="n">
        <v>1000</v>
      </c>
      <c r="F38" s="2">
        <f>UPPER(TEXT(D38,"Mmmm"))</f>
        <v/>
      </c>
      <c r="G38" s="2" t="n">
        <v>4524</v>
      </c>
      <c r="H38" s="2" t="n"/>
      <c r="I38" s="2">
        <f>IF($A$1&gt;D38,"Vencido","A vencer")</f>
        <v/>
      </c>
      <c r="J38" t="inlineStr">
        <is>
          <t>T. Quintas</t>
        </is>
      </c>
    </row>
    <row r="39">
      <c r="B39" s="2" t="inlineStr">
        <is>
          <t>WALTRI INDÚSTRIA E COMÉRCIO DE EQUIPAMENTOS LTDA</t>
        </is>
      </c>
      <c r="C39" s="2" t="inlineStr">
        <is>
          <t>00190.00009 03164.048005 00014.757173 1 95350000100000</t>
        </is>
      </c>
      <c r="D39" s="3" t="n">
        <v>45245</v>
      </c>
      <c r="E39" s="2" t="n">
        <v>1000</v>
      </c>
      <c r="F39" s="2">
        <f>UPPER(TEXT(D39,"Mmmm"))</f>
        <v/>
      </c>
      <c r="G39" s="2" t="n">
        <v>4524</v>
      </c>
      <c r="H39" s="2" t="n"/>
      <c r="I39" s="2">
        <f>IF($A$1&gt;D39,"Vencido","A vencer")</f>
        <v/>
      </c>
      <c r="J39" t="inlineStr">
        <is>
          <t>T. Quintas</t>
        </is>
      </c>
    </row>
    <row r="40">
      <c r="B40" t="inlineStr">
        <is>
          <t>MAHOVI INDÚSTRIA</t>
        </is>
      </c>
      <c r="C40" t="inlineStr">
        <is>
          <t>00190.00009 03164.048005 00015.614175 1 95170000260940</t>
        </is>
      </c>
      <c r="D40" t="inlineStr">
        <is>
          <t>28/10/2023</t>
        </is>
      </c>
      <c r="E40" t="inlineStr">
        <is>
          <t>2.609,40</t>
        </is>
      </c>
      <c r="G40" t="inlineStr">
        <is>
          <t xml:space="preserve"> 4778-1/6</t>
        </is>
      </c>
    </row>
    <row r="41">
      <c r="B41" t="inlineStr">
        <is>
          <t>MAHOVI INDÚSTRIA</t>
        </is>
      </c>
      <c r="C41" t="inlineStr">
        <is>
          <t>00190.00009 03164.048005 00015.615172 1 95470000260316</t>
        </is>
      </c>
      <c r="D41" t="inlineStr">
        <is>
          <t>27/11/2023</t>
        </is>
      </c>
      <c r="E41" t="inlineStr">
        <is>
          <t>2.603,16</t>
        </is>
      </c>
      <c r="G41" t="inlineStr">
        <is>
          <t xml:space="preserve"> 4778-2/6</t>
        </is>
      </c>
    </row>
    <row r="42">
      <c r="B42" t="inlineStr">
        <is>
          <t>MAHOVI INDÚSTRIA</t>
        </is>
      </c>
      <c r="C42" t="inlineStr">
        <is>
          <t>00190.00009 03164.048005 00015.616170 1 95770000260316</t>
        </is>
      </c>
      <c r="D42" t="inlineStr">
        <is>
          <t>27/12/2023</t>
        </is>
      </c>
      <c r="E42" t="inlineStr">
        <is>
          <t>2.603,16</t>
        </is>
      </c>
      <c r="G42" t="inlineStr">
        <is>
          <t xml:space="preserve"> 4778-3/6</t>
        </is>
      </c>
    </row>
    <row r="43">
      <c r="B43" t="inlineStr">
        <is>
          <t>MAHOVI INDÚSTRIA</t>
        </is>
      </c>
      <c r="C43" t="inlineStr">
        <is>
          <t>00190.00009 03164.048005 00015.617178 1 96070000260316</t>
        </is>
      </c>
      <c r="D43" t="inlineStr">
        <is>
          <t>26/01/2024</t>
        </is>
      </c>
      <c r="E43" t="inlineStr">
        <is>
          <t>2.603,16</t>
        </is>
      </c>
      <c r="G43" t="inlineStr">
        <is>
          <t xml:space="preserve"> 4778-4/6</t>
        </is>
      </c>
    </row>
    <row r="44">
      <c r="B44" t="inlineStr">
        <is>
          <t>MAHOVI INDÚSTRIA</t>
        </is>
      </c>
      <c r="C44" t="inlineStr">
        <is>
          <t>00190.00009 03164.048005 00015.618176 1 96370000260316</t>
        </is>
      </c>
      <c r="D44" t="inlineStr">
        <is>
          <t>25/02/2024</t>
        </is>
      </c>
      <c r="E44" t="inlineStr">
        <is>
          <t>2.603,16</t>
        </is>
      </c>
      <c r="G44" t="inlineStr">
        <is>
          <t xml:space="preserve"> 4778-5/6</t>
        </is>
      </c>
    </row>
    <row r="45">
      <c r="B45" t="inlineStr">
        <is>
          <t>MAHOVI INDÚSTRIA</t>
        </is>
      </c>
      <c r="C45" t="inlineStr">
        <is>
          <t>00190.00009 03164.048005 00015.619174 1 96670000260316</t>
        </is>
      </c>
      <c r="D45" t="inlineStr">
        <is>
          <t>26/03/2024</t>
        </is>
      </c>
      <c r="E45" t="inlineStr">
        <is>
          <t>2.603,16</t>
        </is>
      </c>
      <c r="G45" t="inlineStr">
        <is>
          <t xml:space="preserve"> 4778-6/6</t>
        </is>
      </c>
    </row>
    <row r="46">
      <c r="B46" t="inlineStr">
        <is>
          <t xml:space="preserve">EMPRESA BRASILEIRA DE CORREIOS E TELÉGRAFOS </t>
        </is>
      </c>
      <c r="C46" t="inlineStr">
        <is>
          <t>00190.00009 02126.529508 70288.700175 9 94940000094020</t>
        </is>
      </c>
      <c r="D46" t="inlineStr">
        <is>
          <t>05/10/2023</t>
        </is>
      </c>
      <c r="E46" t="inlineStr">
        <is>
          <t>940,20</t>
        </is>
      </c>
      <c r="G46" t="inlineStr">
        <is>
          <t>682914</t>
        </is>
      </c>
    </row>
    <row r="47">
      <c r="B47" t="inlineStr">
        <is>
          <t>RODONAVES TRANSP E ENCOMENDAS LTDA</t>
        </is>
      </c>
      <c r="C47" t="inlineStr">
        <is>
          <t>03399.08477 48800.000373 93605.001010 1 94590000037103</t>
        </is>
      </c>
      <c r="D47" t="inlineStr">
        <is>
          <t>31/08/2023</t>
        </is>
      </c>
      <c r="E47" t="inlineStr">
        <is>
          <t>371,03</t>
        </is>
      </c>
      <c r="G47" t="inlineStr">
        <is>
          <t>5203260-23</t>
        </is>
      </c>
    </row>
  </sheetData>
  <autoFilter ref="B2:K39"/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Talles Quintas</dc:creator>
  <dcterms:created xmlns:dcterms="http://purl.org/dc/terms/" xmlns:xsi="http://www.w3.org/2001/XMLSchema-instance" xsi:type="dcterms:W3CDTF">2023-10-10T13:20:43Z</dcterms:created>
  <dcterms:modified xmlns:dcterms="http://purl.org/dc/terms/" xmlns:xsi="http://www.w3.org/2001/XMLSchema-instance" xsi:type="dcterms:W3CDTF">2023-10-16T20:42:44Z</dcterms:modified>
  <cp:lastModifiedBy>PEDRO HENRIQUE DE MORAES OLIVEIRA</cp:lastModifiedBy>
</cp:coreProperties>
</file>